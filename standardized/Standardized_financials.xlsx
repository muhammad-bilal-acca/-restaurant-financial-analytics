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13_ncr:1_{B9D3786B-AB22-47A8-8824-4B085F134E1C}" xr6:coauthVersionLast="40" xr6:coauthVersionMax="40" xr10:uidLastSave="{00000000-0000-0000-0000-000000000000}"/>
  <bookViews>
    <workbookView xWindow="0" yWindow="0" windowWidth="19200" windowHeight="7680" xr2:uid="{4F356243-1871-4A60-AA33-888697B92904}"/>
  </bookViews>
  <sheets>
    <sheet name="Sheet1" sheetId="1" r:id="rId1"/>
    <sheet name="Methodology Not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" i="1" l="1"/>
  <c r="M25" i="1"/>
  <c r="L25" i="1"/>
  <c r="K25" i="1"/>
  <c r="J25" i="1"/>
  <c r="J7" i="1"/>
  <c r="I25" i="1"/>
  <c r="G17" i="1"/>
  <c r="F7" i="1"/>
  <c r="E25" i="1"/>
  <c r="D25" i="1"/>
  <c r="D7" i="1"/>
  <c r="C18" i="1"/>
  <c r="C17" i="1"/>
  <c r="C7" i="1"/>
</calcChain>
</file>

<file path=xl/sharedStrings.xml><?xml version="1.0" encoding="utf-8"?>
<sst xmlns="http://schemas.openxmlformats.org/spreadsheetml/2006/main" count="86" uniqueCount="79">
  <si>
    <t>Line Item</t>
  </si>
  <si>
    <t>Cracker Barrel (FY25)</t>
  </si>
  <si>
    <t>Darden (FY25)</t>
  </si>
  <si>
    <t>INCOME STATEMENT</t>
  </si>
  <si>
    <t>Total Revenue</t>
  </si>
  <si>
    <t>Cost of sales/Food &amp; Bev</t>
  </si>
  <si>
    <t xml:space="preserve">Labour Costs </t>
  </si>
  <si>
    <t>Other Operating Expenses</t>
  </si>
  <si>
    <t>Depreciation &amp; Amortization</t>
  </si>
  <si>
    <t>Operating Income</t>
  </si>
  <si>
    <t>Net Income</t>
  </si>
  <si>
    <t>Diluted EPS</t>
  </si>
  <si>
    <t>BALANCE SHEET</t>
  </si>
  <si>
    <t>Cash and Equivalents</t>
  </si>
  <si>
    <t xml:space="preserve">Total current assets </t>
  </si>
  <si>
    <t xml:space="preserve">Total assets </t>
  </si>
  <si>
    <t>Total current liabilities</t>
  </si>
  <si>
    <t>Total libilities</t>
  </si>
  <si>
    <t>Total stakeholders' Equity</t>
  </si>
  <si>
    <t>Inventories</t>
  </si>
  <si>
    <t>CASH FLOW STATEMENT</t>
  </si>
  <si>
    <t>Net Cash - Operating</t>
  </si>
  <si>
    <t>Net Cash - Investing</t>
  </si>
  <si>
    <t>Net Cash - Financing</t>
  </si>
  <si>
    <t>Capital Expenditure</t>
  </si>
  <si>
    <t>Net Change in Cash</t>
  </si>
  <si>
    <t>Darden (FY24)</t>
  </si>
  <si>
    <t>Cracker Barrel (FY24)</t>
  </si>
  <si>
    <t>Cheesecake Factory (FY24)</t>
  </si>
  <si>
    <t>Denny's (FY24)</t>
  </si>
  <si>
    <t>$'000</t>
  </si>
  <si>
    <t>$'000(Not diluted EPS)</t>
  </si>
  <si>
    <t>METHODOLOGY NOTES</t>
  </si>
  <si>
    <t>1. Data Source</t>
  </si>
  <si>
    <t xml:space="preserve">All financial data sourced directly from each company's Form 10-K filed </t>
  </si>
  <si>
    <t xml:space="preserve">with the U.S. Securities and Exchange Commission (SEC EDGAR), obtained </t>
  </si>
  <si>
    <t>from the primary filed document, not third-party aggregators.</t>
  </si>
  <si>
    <t>2. Fiscal Year Alignment</t>
  </si>
  <si>
    <t>Companies in this analysis use different fiscal year-end dates:</t>
  </si>
  <si>
    <t>- Denny's: fiscal year ends late December</t>
  </si>
  <si>
    <t xml:space="preserve">As a result, "most recent fiscal year" figures do not represent an </t>
  </si>
  <si>
    <t xml:space="preserve">identical calendar period across all four companies. Comparisons should </t>
  </si>
  <si>
    <t xml:space="preserve">be read as each company's latest reported full year, not a synchronized </t>
  </si>
  <si>
    <t>time window.</t>
  </si>
  <si>
    <t>3. Balance Sheet Reporting Periods</t>
  </si>
  <si>
    <t xml:space="preserve">Per SEC/GAAP disclosure requirements, Income Statements and Cash Flow </t>
  </si>
  <si>
    <t xml:space="preserve">Statements are reported for 3 fiscal years, while Balance Sheets are </t>
  </si>
  <si>
    <t xml:space="preserve">reported for only 2 fiscal years (current and prior year-end), since </t>
  </si>
  <si>
    <t xml:space="preserve">a balance sheet reflects a single point-in-time snapshot rather than </t>
  </si>
  <si>
    <t xml:space="preserve">activity over a period. This is standard across all four companies, </t>
  </si>
  <si>
    <t>not a data gap.</t>
  </si>
  <si>
    <t>4. Comparability Limitation</t>
  </si>
  <si>
    <t xml:space="preserve">Given the above, ratio comparisons across companies should be </t>
  </si>
  <si>
    <t xml:space="preserve">interpreted as directional/relative rather than as a precisely </t>
  </si>
  <si>
    <t>synchronized like-for-like comparison.</t>
  </si>
  <si>
    <t>5. Revenue Composition Differences</t>
  </si>
  <si>
    <t xml:space="preserve">Denny's Corporation operates a predominantly franchised business model, </t>
  </si>
  <si>
    <t xml:space="preserve">with approximately 95% of its restaurants operated by franchisees rather </t>
  </si>
  <si>
    <t xml:space="preserve">than the company directly. Its revenue therefore combines two distinct </t>
  </si>
  <si>
    <t xml:space="preserve">sources: (a) company restaurant sales from company-operated locations, </t>
  </si>
  <si>
    <t xml:space="preserve">and (b) franchise and license revenue (royalties, fees, and occupancy </t>
  </si>
  <si>
    <t xml:space="preserve">income collected from franchisees). Darden, Cracker Barrel, and </t>
  </si>
  <si>
    <t xml:space="preserve">Cheesecake Factory are predominantly company-operated, with revenue </t>
  </si>
  <si>
    <t>consisting almost entirely of direct restaurant sales.</t>
  </si>
  <si>
    <t xml:space="preserve">This is a structural business model difference, not a timing issue. </t>
  </si>
  <si>
    <t xml:space="preserve">Franchise/royalty revenue typically carries substantially higher margins </t>
  </si>
  <si>
    <t xml:space="preserve">than company-operated restaurant sales, since it excludes direct food </t>
  </si>
  <si>
    <t xml:space="preserve">and labor costs. As a result, margin-based ratios (operating margin, </t>
  </si>
  <si>
    <t xml:space="preserve">net margin) for Denny's should not be read as directly comparable to </t>
  </si>
  <si>
    <t>the other three companies without accounting for this difference.</t>
  </si>
  <si>
    <t>Darden</t>
  </si>
  <si>
    <t xml:space="preserve"> Cracker Barrel</t>
  </si>
  <si>
    <t>Cheesecake factory</t>
  </si>
  <si>
    <t>Darden (FY23)</t>
  </si>
  <si>
    <t>Cracker Barrel (FY23)</t>
  </si>
  <si>
    <t>Cheesecake Factory (FY23)</t>
  </si>
  <si>
    <t>Denny's (FY23)</t>
  </si>
  <si>
    <t>Cheesecake Factory (FY22)</t>
  </si>
  <si>
    <t>Denny's (FY22)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</si>
</sst>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 applyAlignmen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F3A22-2765-4C11-8A03-BB424631E6E3}">
  <dimension ref="A1:XFD26"/>
  <sheetViews>
    <sheetView tabSelected="1" zoomScale="85" zoomScaleNormal="85" workbookViewId="0">
      <pane xSplit="2" ySplit="14" topLeftCell="C15" activePane="bottomRight" state="frozen"/>
      <selection pane="topRight" activeCell="C1" sqref="C1"/>
      <selection pane="bottomLeft" activeCell="A15" sqref="A15"/>
      <selection pane="bottomRight" activeCell="B22" sqref="B22"/>
    </sheetView>
  </sheetViews>
  <sheetFormatPr defaultRowHeight="14.5" x14ac:dyDescent="0.35"/>
  <cols>
    <col min="1" max="1" width="21.7265625" style="2" bestFit="1" customWidth="1"/>
    <col min="2" max="3" width="19.36328125" bestFit="1" customWidth="1"/>
    <col min="4" max="4" width="23.1796875" bestFit="1" customWidth="1"/>
    <col min="5" max="5" width="19.36328125" bestFit="1" customWidth="1"/>
    <col min="6" max="6" width="12.6328125" bestFit="1" customWidth="1"/>
    <col min="7" max="7" width="18.453125" bestFit="1" customWidth="1"/>
    <col min="8" max="8" width="23.1796875" bestFit="1" customWidth="1"/>
    <col min="9" max="9" width="13.1796875" bestFit="1" customWidth="1"/>
    <col min="10" max="10" width="13" bestFit="1" customWidth="1"/>
    <col min="11" max="11" width="19.08984375" bestFit="1" customWidth="1"/>
    <col min="12" max="12" width="23.90625" bestFit="1" customWidth="1"/>
    <col min="13" max="13" width="13.54296875" bestFit="1" customWidth="1"/>
  </cols>
  <sheetData>
    <row r="1" spans="1:13 16384:16384" s="1" customFormat="1" x14ac:dyDescent="0.35">
      <c r="A1" s="1" t="s">
        <v>0</v>
      </c>
      <c r="B1" s="1" t="s">
        <v>2</v>
      </c>
      <c r="C1" s="1" t="s">
        <v>1</v>
      </c>
      <c r="D1" s="1" t="s">
        <v>28</v>
      </c>
      <c r="E1" s="1" t="s">
        <v>29</v>
      </c>
      <c r="F1" s="1" t="s">
        <v>26</v>
      </c>
      <c r="G1" s="1" t="s">
        <v>27</v>
      </c>
      <c r="H1" s="1" t="s">
        <v>75</v>
      </c>
      <c r="I1" s="1" t="s">
        <v>76</v>
      </c>
      <c r="J1" s="1" t="s">
        <v>73</v>
      </c>
      <c r="K1" s="1" t="s">
        <v>74</v>
      </c>
      <c r="L1" s="1" t="s">
        <v>77</v>
      </c>
      <c r="M1" s="1" t="s">
        <v>78</v>
      </c>
    </row>
    <row r="2" spans="1:13 16384:16384" x14ac:dyDescent="0.35">
      <c r="A2" s="3" t="s">
        <v>3</v>
      </c>
    </row>
    <row r="3" spans="1:13 16384:16384" x14ac:dyDescent="0.35">
      <c r="A3" s="3"/>
      <c r="B3" s="4" t="s">
        <v>31</v>
      </c>
      <c r="C3" s="4" t="s">
        <v>31</v>
      </c>
      <c r="D3" s="4" t="s">
        <v>31</v>
      </c>
      <c r="E3" s="4" t="s">
        <v>31</v>
      </c>
      <c r="F3" s="4" t="s">
        <v>30</v>
      </c>
      <c r="G3" s="4" t="s">
        <v>30</v>
      </c>
      <c r="H3" s="4" t="s">
        <v>30</v>
      </c>
      <c r="I3" s="4" t="s">
        <v>30</v>
      </c>
      <c r="XFD3" s="4" t="s">
        <v>30</v>
      </c>
    </row>
    <row r="4" spans="1:13 16384:16384" x14ac:dyDescent="0.35">
      <c r="A4" s="2" t="s">
        <v>4</v>
      </c>
      <c r="B4">
        <v>12076700</v>
      </c>
      <c r="C4">
        <v>3483684</v>
      </c>
      <c r="D4">
        <v>3581699</v>
      </c>
      <c r="E4">
        <v>452334</v>
      </c>
      <c r="F4">
        <v>11390000</v>
      </c>
      <c r="G4">
        <v>3470762</v>
      </c>
      <c r="H4">
        <v>3439503</v>
      </c>
      <c r="I4">
        <v>463922</v>
      </c>
      <c r="J4">
        <v>10487800</v>
      </c>
      <c r="K4">
        <v>3442808</v>
      </c>
      <c r="L4">
        <v>3303156</v>
      </c>
      <c r="M4">
        <v>456429</v>
      </c>
    </row>
    <row r="5" spans="1:13 16384:16384" x14ac:dyDescent="0.35">
      <c r="A5" s="2" t="s">
        <v>5</v>
      </c>
      <c r="B5">
        <v>3657000</v>
      </c>
      <c r="C5">
        <v>1081029</v>
      </c>
      <c r="D5">
        <v>806021</v>
      </c>
      <c r="E5">
        <v>53931</v>
      </c>
      <c r="F5">
        <v>3523900</v>
      </c>
      <c r="G5">
        <v>1087631</v>
      </c>
      <c r="H5">
        <v>803500</v>
      </c>
      <c r="I5">
        <v>55789</v>
      </c>
      <c r="J5">
        <v>3355900</v>
      </c>
      <c r="K5">
        <v>1127617</v>
      </c>
      <c r="L5">
        <v>810926</v>
      </c>
      <c r="M5">
        <v>53617</v>
      </c>
    </row>
    <row r="6" spans="1:13 16384:16384" x14ac:dyDescent="0.35">
      <c r="A6" s="2" t="s">
        <v>6</v>
      </c>
      <c r="B6">
        <v>3833100</v>
      </c>
      <c r="C6">
        <v>1254668</v>
      </c>
      <c r="D6">
        <v>1264382</v>
      </c>
      <c r="E6">
        <v>80605</v>
      </c>
      <c r="F6">
        <v>3619300</v>
      </c>
      <c r="G6">
        <v>1271555</v>
      </c>
      <c r="H6">
        <v>1227895</v>
      </c>
      <c r="I6">
        <v>80666</v>
      </c>
      <c r="J6">
        <v>3346300</v>
      </c>
      <c r="K6">
        <v>1208669</v>
      </c>
      <c r="L6">
        <v>1211951</v>
      </c>
      <c r="M6">
        <v>76412</v>
      </c>
    </row>
    <row r="7" spans="1:13 16384:16384" x14ac:dyDescent="0.35">
      <c r="A7" s="2" t="s">
        <v>7</v>
      </c>
      <c r="B7">
        <v>2659000</v>
      </c>
      <c r="C7">
        <f>855389+217510</f>
        <v>1072899</v>
      </c>
      <c r="D7">
        <f>959221+228737</f>
        <v>1187958</v>
      </c>
      <c r="E7">
        <v>37079</v>
      </c>
      <c r="F7">
        <f>1812300+144500+24300</f>
        <v>1981100</v>
      </c>
      <c r="G7">
        <v>831763</v>
      </c>
      <c r="H7">
        <v>922428</v>
      </c>
      <c r="I7">
        <v>34335</v>
      </c>
      <c r="J7">
        <f>167600+118300+25900</f>
        <v>311800</v>
      </c>
      <c r="K7">
        <v>797815</v>
      </c>
      <c r="L7">
        <v>881627</v>
      </c>
      <c r="M7">
        <v>34275</v>
      </c>
    </row>
    <row r="8" spans="1:13 16384:16384" x14ac:dyDescent="0.35">
      <c r="A8" s="2" t="s">
        <v>8</v>
      </c>
      <c r="B8">
        <v>516100</v>
      </c>
      <c r="C8">
        <v>20059</v>
      </c>
      <c r="D8">
        <v>101450</v>
      </c>
      <c r="E8">
        <v>14857</v>
      </c>
      <c r="F8">
        <v>459900</v>
      </c>
      <c r="G8">
        <v>22942</v>
      </c>
      <c r="H8">
        <v>93136</v>
      </c>
      <c r="I8">
        <v>14385</v>
      </c>
      <c r="J8">
        <v>387800</v>
      </c>
      <c r="K8">
        <v>13999</v>
      </c>
      <c r="L8">
        <v>92380</v>
      </c>
      <c r="M8">
        <v>14862</v>
      </c>
    </row>
    <row r="9" spans="1:13 16384:16384" x14ac:dyDescent="0.35">
      <c r="A9" s="2" t="s">
        <v>9</v>
      </c>
      <c r="B9">
        <v>1362300</v>
      </c>
      <c r="C9">
        <v>55029</v>
      </c>
      <c r="D9">
        <v>178317</v>
      </c>
      <c r="E9">
        <v>45316</v>
      </c>
      <c r="F9">
        <v>1314200</v>
      </c>
      <c r="G9">
        <v>45119</v>
      </c>
      <c r="H9">
        <v>108566</v>
      </c>
      <c r="I9">
        <v>52823</v>
      </c>
      <c r="J9">
        <v>1201800</v>
      </c>
      <c r="K9">
        <v>120617</v>
      </c>
      <c r="L9">
        <v>38935</v>
      </c>
      <c r="M9">
        <v>60614</v>
      </c>
    </row>
    <row r="10" spans="1:13 16384:16384" x14ac:dyDescent="0.35">
      <c r="A10" s="2" t="s">
        <v>10</v>
      </c>
      <c r="B10">
        <v>1049600</v>
      </c>
      <c r="C10">
        <v>46379</v>
      </c>
      <c r="D10">
        <v>156783</v>
      </c>
      <c r="E10">
        <v>21571</v>
      </c>
      <c r="F10">
        <v>1027600</v>
      </c>
      <c r="G10">
        <v>40930</v>
      </c>
      <c r="H10">
        <v>101351</v>
      </c>
      <c r="I10">
        <v>19945</v>
      </c>
      <c r="J10">
        <v>983500</v>
      </c>
      <c r="K10">
        <v>99050</v>
      </c>
      <c r="L10">
        <v>43123</v>
      </c>
      <c r="M10">
        <v>74712</v>
      </c>
    </row>
    <row r="11" spans="1:13 16384:16384" x14ac:dyDescent="0.35">
      <c r="A11" s="2" t="s">
        <v>11</v>
      </c>
      <c r="B11">
        <v>8.86</v>
      </c>
      <c r="C11">
        <v>2.06</v>
      </c>
      <c r="D11">
        <v>3.2</v>
      </c>
      <c r="E11">
        <v>0.41</v>
      </c>
      <c r="F11">
        <v>8.51</v>
      </c>
      <c r="G11">
        <v>1.83</v>
      </c>
      <c r="H11">
        <v>2.0699999999999998</v>
      </c>
      <c r="I11">
        <v>0.35</v>
      </c>
      <c r="J11">
        <v>7.99</v>
      </c>
      <c r="K11">
        <v>4.45</v>
      </c>
      <c r="L11">
        <v>0.86</v>
      </c>
      <c r="M11">
        <v>1.23</v>
      </c>
    </row>
    <row r="12" spans="1:13 16384:16384" x14ac:dyDescent="0.35">
      <c r="A12" s="1" t="s">
        <v>12</v>
      </c>
    </row>
    <row r="13" spans="1:13 16384:16384" x14ac:dyDescent="0.35">
      <c r="A13" s="2" t="s">
        <v>13</v>
      </c>
      <c r="B13">
        <v>240000</v>
      </c>
      <c r="C13">
        <v>39643</v>
      </c>
      <c r="D13">
        <v>84176</v>
      </c>
      <c r="E13">
        <v>1698</v>
      </c>
      <c r="F13">
        <v>194800</v>
      </c>
      <c r="G13">
        <v>12035</v>
      </c>
      <c r="H13">
        <v>56290</v>
      </c>
      <c r="I13">
        <v>4893</v>
      </c>
    </row>
    <row r="14" spans="1:13 16384:16384" x14ac:dyDescent="0.35">
      <c r="A14" s="2" t="s">
        <v>14</v>
      </c>
      <c r="B14">
        <v>937700</v>
      </c>
      <c r="C14">
        <v>313112</v>
      </c>
      <c r="D14">
        <v>333313</v>
      </c>
      <c r="E14">
        <v>39993</v>
      </c>
      <c r="F14">
        <v>822800</v>
      </c>
      <c r="G14">
        <v>278214</v>
      </c>
      <c r="H14">
        <v>300789</v>
      </c>
      <c r="I14">
        <v>44050</v>
      </c>
    </row>
    <row r="15" spans="1:13 16384:16384" x14ac:dyDescent="0.35">
      <c r="A15" s="2" t="s">
        <v>15</v>
      </c>
      <c r="B15">
        <v>12587000</v>
      </c>
      <c r="C15">
        <v>2161884</v>
      </c>
      <c r="D15">
        <v>3041760</v>
      </c>
      <c r="E15">
        <v>496274</v>
      </c>
      <c r="F15">
        <v>11323000</v>
      </c>
      <c r="G15">
        <v>2161494</v>
      </c>
      <c r="H15">
        <v>2840383</v>
      </c>
      <c r="I15">
        <v>464818</v>
      </c>
    </row>
    <row r="16" spans="1:13 16384:16384" x14ac:dyDescent="0.35">
      <c r="A16" s="2" t="s">
        <v>16</v>
      </c>
      <c r="B16">
        <v>2247500</v>
      </c>
      <c r="C16">
        <v>625603</v>
      </c>
      <c r="D16">
        <v>711420</v>
      </c>
      <c r="E16">
        <v>95598</v>
      </c>
      <c r="F16">
        <v>2192500</v>
      </c>
      <c r="G16">
        <v>454207</v>
      </c>
      <c r="H16">
        <v>660671</v>
      </c>
      <c r="I16">
        <v>103300</v>
      </c>
    </row>
    <row r="17" spans="1:13" x14ac:dyDescent="0.35">
      <c r="A17" s="2" t="s">
        <v>17</v>
      </c>
      <c r="B17">
        <v>10275700</v>
      </c>
      <c r="C17">
        <f>48591+46518+644026+335457+625603</f>
        <v>1700195</v>
      </c>
      <c r="D17">
        <v>2598305</v>
      </c>
      <c r="E17">
        <v>530299</v>
      </c>
      <c r="F17">
        <v>9080500</v>
      </c>
      <c r="G17">
        <f>476581+675993+46856+67712</f>
        <v>1267142</v>
      </c>
      <c r="H17">
        <v>2522321</v>
      </c>
      <c r="I17">
        <v>527504</v>
      </c>
    </row>
    <row r="18" spans="1:13" x14ac:dyDescent="0.35">
      <c r="A18" s="2" t="s">
        <v>18</v>
      </c>
      <c r="B18">
        <v>2311300</v>
      </c>
      <c r="C18">
        <f>223+10515+450951+461689</f>
        <v>923378</v>
      </c>
      <c r="D18">
        <v>443455</v>
      </c>
      <c r="E18">
        <v>-34025</v>
      </c>
      <c r="F18">
        <v>2242500</v>
      </c>
      <c r="G18">
        <v>440149</v>
      </c>
      <c r="H18">
        <v>318062</v>
      </c>
      <c r="I18">
        <v>-62686</v>
      </c>
    </row>
    <row r="19" spans="1:13" x14ac:dyDescent="0.35">
      <c r="A19" s="2" t="s">
        <v>19</v>
      </c>
      <c r="B19">
        <v>311600</v>
      </c>
      <c r="C19">
        <v>180585</v>
      </c>
      <c r="D19">
        <v>64526</v>
      </c>
      <c r="E19">
        <v>1747</v>
      </c>
      <c r="F19">
        <v>290500</v>
      </c>
      <c r="G19">
        <v>180958</v>
      </c>
      <c r="H19">
        <v>57654</v>
      </c>
      <c r="I19">
        <v>2175</v>
      </c>
    </row>
    <row r="21" spans="1:13" x14ac:dyDescent="0.35">
      <c r="A21" s="1" t="s">
        <v>20</v>
      </c>
    </row>
    <row r="22" spans="1:13" x14ac:dyDescent="0.35">
      <c r="A22" s="2" t="s">
        <v>21</v>
      </c>
      <c r="B22">
        <v>1707000</v>
      </c>
      <c r="C22">
        <v>218899</v>
      </c>
      <c r="D22">
        <v>268325</v>
      </c>
      <c r="E22">
        <v>29487</v>
      </c>
      <c r="F22">
        <v>1621700</v>
      </c>
      <c r="G22">
        <v>168980</v>
      </c>
      <c r="H22">
        <v>218401</v>
      </c>
      <c r="I22">
        <v>72125</v>
      </c>
      <c r="J22">
        <v>1552800</v>
      </c>
      <c r="K22">
        <v>250457</v>
      </c>
      <c r="L22">
        <v>161926</v>
      </c>
      <c r="M22">
        <v>39452</v>
      </c>
    </row>
    <row r="23" spans="1:13" x14ac:dyDescent="0.35">
      <c r="A23" s="2" t="s">
        <v>22</v>
      </c>
      <c r="B23">
        <v>-1278300</v>
      </c>
      <c r="C23">
        <v>-156702</v>
      </c>
      <c r="D23">
        <v>-161097</v>
      </c>
      <c r="E23">
        <v>-26673</v>
      </c>
      <c r="F23">
        <v>-1324600</v>
      </c>
      <c r="G23">
        <v>-124327</v>
      </c>
      <c r="H23">
        <v>-153497</v>
      </c>
      <c r="I23">
        <v>-7564</v>
      </c>
      <c r="J23">
        <v>-568400</v>
      </c>
      <c r="K23">
        <v>-124319</v>
      </c>
      <c r="L23">
        <v>-112815</v>
      </c>
      <c r="M23">
        <v>-86596</v>
      </c>
    </row>
    <row r="24" spans="1:13" x14ac:dyDescent="0.35">
      <c r="A24" s="2" t="s">
        <v>23</v>
      </c>
      <c r="B24">
        <v>-385800</v>
      </c>
      <c r="C24">
        <v>-34589</v>
      </c>
      <c r="D24">
        <v>-78794</v>
      </c>
      <c r="E24">
        <v>-6009</v>
      </c>
      <c r="F24">
        <v>-483400</v>
      </c>
      <c r="G24">
        <v>-57765</v>
      </c>
      <c r="H24">
        <v>-123535</v>
      </c>
      <c r="I24">
        <v>-63191</v>
      </c>
      <c r="J24">
        <v>-1033100</v>
      </c>
      <c r="K24">
        <v>-146096</v>
      </c>
      <c r="L24">
        <v>-123636</v>
      </c>
      <c r="M24">
        <v>20043</v>
      </c>
    </row>
    <row r="25" spans="1:13" x14ac:dyDescent="0.35">
      <c r="A25" s="2" t="s">
        <v>24</v>
      </c>
      <c r="B25">
        <v>-1285600</v>
      </c>
      <c r="C25">
        <v>-159144</v>
      </c>
      <c r="D25">
        <f>-160364-1054</f>
        <v>-161418</v>
      </c>
      <c r="E25">
        <f>-28569-1500-330</f>
        <v>-30399</v>
      </c>
      <c r="F25">
        <f>-601200-701100-27100</f>
        <v>-1329400</v>
      </c>
      <c r="G25">
        <v>-128295</v>
      </c>
      <c r="H25">
        <v>-153497</v>
      </c>
      <c r="I25">
        <f>-9978-1227-400-1300-293</f>
        <v>-13198</v>
      </c>
      <c r="J25">
        <f>-564900-29400</f>
        <v>-594300</v>
      </c>
      <c r="K25">
        <f>-126987</f>
        <v>-126987</v>
      </c>
      <c r="L25">
        <f>-112464-680</f>
        <v>-113144</v>
      </c>
      <c r="M25">
        <f>-11844-750-82500-1200-16</f>
        <v>-96310</v>
      </c>
    </row>
    <row r="26" spans="1:13" x14ac:dyDescent="0.35">
      <c r="A26" s="2" t="s">
        <v>25</v>
      </c>
      <c r="B26">
        <v>34400</v>
      </c>
      <c r="C26">
        <v>27608</v>
      </c>
      <c r="D26">
        <v>27886</v>
      </c>
      <c r="E26">
        <v>-3195</v>
      </c>
      <c r="F26">
        <v>-196100</v>
      </c>
      <c r="G26">
        <v>-13112</v>
      </c>
      <c r="H26">
        <v>-58487</v>
      </c>
      <c r="I26">
        <v>1370</v>
      </c>
      <c r="J26">
        <v>-55900</v>
      </c>
      <c r="K26">
        <v>-19958</v>
      </c>
      <c r="L26">
        <v>-74850</v>
      </c>
      <c r="M26">
        <v>-27101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2257-C57C-49F4-BBEF-F5894CCD6DE7}">
  <dimension ref="A1:A50"/>
  <sheetViews>
    <sheetView topLeftCell="A31" workbookViewId="0">
      <selection activeCell="A13" sqref="A13"/>
    </sheetView>
  </sheetViews>
  <sheetFormatPr defaultRowHeight="14.5" x14ac:dyDescent="0.35"/>
  <cols>
    <col min="1" max="1" width="64.6328125" bestFit="1" customWidth="1"/>
  </cols>
  <sheetData>
    <row r="1" spans="1:1" s="1" customFormat="1" x14ac:dyDescent="0.35">
      <c r="A1" s="1" t="s">
        <v>32</v>
      </c>
    </row>
    <row r="3" spans="1:1" x14ac:dyDescent="0.35">
      <c r="A3" t="s">
        <v>33</v>
      </c>
    </row>
    <row r="4" spans="1:1" x14ac:dyDescent="0.35">
      <c r="A4" t="s">
        <v>34</v>
      </c>
    </row>
    <row r="5" spans="1:1" x14ac:dyDescent="0.35">
      <c r="A5" t="s">
        <v>35</v>
      </c>
    </row>
    <row r="6" spans="1:1" x14ac:dyDescent="0.35">
      <c r="A6" t="s">
        <v>36</v>
      </c>
    </row>
    <row r="8" spans="1:1" x14ac:dyDescent="0.35">
      <c r="A8" t="s">
        <v>37</v>
      </c>
    </row>
    <row r="9" spans="1:1" x14ac:dyDescent="0.35">
      <c r="A9" t="s">
        <v>38</v>
      </c>
    </row>
    <row r="10" spans="1:1" x14ac:dyDescent="0.35">
      <c r="A10" t="s">
        <v>70</v>
      </c>
    </row>
    <row r="11" spans="1:1" x14ac:dyDescent="0.35">
      <c r="A11" t="s">
        <v>71</v>
      </c>
    </row>
    <row r="12" spans="1:1" x14ac:dyDescent="0.35">
      <c r="A12" t="s">
        <v>72</v>
      </c>
    </row>
    <row r="13" spans="1:1" x14ac:dyDescent="0.35">
      <c r="A13" t="s">
        <v>39</v>
      </c>
    </row>
    <row r="15" spans="1:1" x14ac:dyDescent="0.35">
      <c r="A15" t="s">
        <v>40</v>
      </c>
    </row>
    <row r="16" spans="1:1" x14ac:dyDescent="0.35">
      <c r="A16" t="s">
        <v>41</v>
      </c>
    </row>
    <row r="17" spans="1:1" x14ac:dyDescent="0.35">
      <c r="A17" t="s">
        <v>42</v>
      </c>
    </row>
    <row r="18" spans="1:1" x14ac:dyDescent="0.35">
      <c r="A18" t="s">
        <v>43</v>
      </c>
    </row>
    <row r="20" spans="1:1" x14ac:dyDescent="0.35">
      <c r="A20" t="s">
        <v>44</v>
      </c>
    </row>
    <row r="21" spans="1:1" x14ac:dyDescent="0.35">
      <c r="A21" t="s">
        <v>45</v>
      </c>
    </row>
    <row r="22" spans="1:1" x14ac:dyDescent="0.35">
      <c r="A22" t="s">
        <v>46</v>
      </c>
    </row>
    <row r="23" spans="1:1" x14ac:dyDescent="0.35">
      <c r="A23" t="s">
        <v>47</v>
      </c>
    </row>
    <row r="24" spans="1:1" x14ac:dyDescent="0.35">
      <c r="A24" t="s">
        <v>48</v>
      </c>
    </row>
    <row r="25" spans="1:1" x14ac:dyDescent="0.35">
      <c r="A25" t="s">
        <v>49</v>
      </c>
    </row>
    <row r="26" spans="1:1" x14ac:dyDescent="0.35">
      <c r="A26" t="s">
        <v>50</v>
      </c>
    </row>
    <row r="28" spans="1:1" x14ac:dyDescent="0.35">
      <c r="A28" t="s">
        <v>51</v>
      </c>
    </row>
    <row r="29" spans="1:1" x14ac:dyDescent="0.35">
      <c r="A29" t="s">
        <v>52</v>
      </c>
    </row>
    <row r="30" spans="1:1" x14ac:dyDescent="0.35">
      <c r="A30" t="s">
        <v>53</v>
      </c>
    </row>
    <row r="31" spans="1:1" x14ac:dyDescent="0.35">
      <c r="A31" t="s">
        <v>54</v>
      </c>
    </row>
    <row r="35" spans="1:1" s="1" customFormat="1" x14ac:dyDescent="0.35">
      <c r="A35" s="1" t="s">
        <v>55</v>
      </c>
    </row>
    <row r="36" spans="1:1" x14ac:dyDescent="0.35">
      <c r="A36" t="s">
        <v>56</v>
      </c>
    </row>
    <row r="37" spans="1:1" x14ac:dyDescent="0.35">
      <c r="A37" t="s">
        <v>57</v>
      </c>
    </row>
    <row r="38" spans="1:1" x14ac:dyDescent="0.35">
      <c r="A38" t="s">
        <v>58</v>
      </c>
    </row>
    <row r="39" spans="1:1" x14ac:dyDescent="0.35">
      <c r="A39" t="s">
        <v>59</v>
      </c>
    </row>
    <row r="40" spans="1:1" x14ac:dyDescent="0.35">
      <c r="A40" t="s">
        <v>60</v>
      </c>
    </row>
    <row r="41" spans="1:1" x14ac:dyDescent="0.35">
      <c r="A41" t="s">
        <v>61</v>
      </c>
    </row>
    <row r="42" spans="1:1" x14ac:dyDescent="0.35">
      <c r="A42" t="s">
        <v>62</v>
      </c>
    </row>
    <row r="43" spans="1:1" x14ac:dyDescent="0.35">
      <c r="A43" t="s">
        <v>63</v>
      </c>
    </row>
    <row r="45" spans="1:1" x14ac:dyDescent="0.35">
      <c r="A45" t="s">
        <v>64</v>
      </c>
    </row>
    <row r="46" spans="1:1" x14ac:dyDescent="0.35">
      <c r="A46" t="s">
        <v>65</v>
      </c>
    </row>
    <row r="47" spans="1:1" x14ac:dyDescent="0.35">
      <c r="A47" t="s">
        <v>66</v>
      </c>
    </row>
    <row r="48" spans="1:1" x14ac:dyDescent="0.35">
      <c r="A48" t="s">
        <v>67</v>
      </c>
    </row>
    <row r="49" spans="1:1" x14ac:dyDescent="0.35">
      <c r="A49" t="s">
        <v>68</v>
      </c>
    </row>
    <row r="50" spans="1:1" x14ac:dyDescent="0.35">
      <c r="A50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Methodology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2026-09-18T11:21:10Z</dcterms:created>
  <dcterms:modified xsi:type="dcterms:W3CDTF">2026-09-19T14:29:51Z</dcterms:modified>
</cp:coreProperties>
</file>